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<sst xmlns="http://schemas.openxmlformats.org/spreadsheetml/2006/main" count="252" uniqueCount="168">
  <si>
    <t xml:space="preserve">PLANILHA DE CUSTOS E FORMAÇÃO DE PREÇOS</t>
  </si>
  <si>
    <t xml:space="preserve">Instrução Normativa nº 05/2017</t>
  </si>
  <si>
    <t xml:space="preserve">Dados complementares para composição dos custos referentes à mão-de-obra</t>
  </si>
  <si>
    <t xml:space="preserve">OBSERVAÇÃO/REF</t>
  </si>
  <si>
    <t xml:space="preserve">A</t>
  </si>
  <si>
    <t xml:space="preserve">Item</t>
  </si>
  <si>
    <t xml:space="preserve">Supervisor Operacional</t>
  </si>
  <si>
    <t xml:space="preserve">B</t>
  </si>
  <si>
    <t xml:space="preserve">Município</t>
  </si>
  <si>
    <t xml:space="preserve">Mossoró/RN</t>
  </si>
  <si>
    <t xml:space="preserve">C</t>
  </si>
  <si>
    <t xml:space="preserve">Classificação Brasileira de Ocupações (CBO)</t>
  </si>
  <si>
    <t xml:space="preserve">4101-05</t>
  </si>
  <si>
    <t xml:space="preserve">D</t>
  </si>
  <si>
    <t xml:space="preserve">Jornada</t>
  </si>
  <si>
    <t xml:space="preserve">44 horas semanais</t>
  </si>
  <si>
    <t xml:space="preserve">E</t>
  </si>
  <si>
    <t xml:space="preserve">Acordo, Convenção ou Dissídio Coletivo</t>
  </si>
  <si>
    <t xml:space="preserve">RN000009/2025</t>
  </si>
  <si>
    <t xml:space="preserve">SEAC/RN</t>
  </si>
  <si>
    <t xml:space="preserve">SINDLIMP</t>
  </si>
  <si>
    <t xml:space="preserve">F</t>
  </si>
  <si>
    <t xml:space="preserve">Categoria profissional</t>
  </si>
  <si>
    <t xml:space="preserve">Supervisor administrativo</t>
  </si>
  <si>
    <t xml:space="preserve">G</t>
  </si>
  <si>
    <t xml:space="preserve">Data base da categoria (dia/mês/ano)</t>
  </si>
  <si>
    <t xml:space="preserve">H</t>
  </si>
  <si>
    <t xml:space="preserve">Salário Normativo da Categoria Profissional</t>
  </si>
  <si>
    <t xml:space="preserve">I</t>
  </si>
  <si>
    <t xml:space="preserve">Nº de meses de execução contratual</t>
  </si>
  <si>
    <t xml:space="preserve">MÓDULO 1 - COMPOSIÇÃO DA REMUNERAÇÃO</t>
  </si>
  <si>
    <t xml:space="preserve">COMPOSIÇÃO DA REMUNERAÇÃO</t>
  </si>
  <si>
    <t xml:space="preserve">%</t>
  </si>
  <si>
    <t xml:space="preserve">VALOR (R$)</t>
  </si>
  <si>
    <t xml:space="preserve">Salário Base</t>
  </si>
  <si>
    <t xml:space="preserve">Cláusula quarta da CCT.</t>
  </si>
  <si>
    <t xml:space="preserve">Adicional Periculosidade </t>
  </si>
  <si>
    <t xml:space="preserve">Art. 193 e seguintes da CLT e NR 16. Cálculo realizado sobre o salário base do trabalhador</t>
  </si>
  <si>
    <t xml:space="preserve">Adicional Insalubridade</t>
  </si>
  <si>
    <t xml:space="preserve">Art. 189 e seguintes da CLT. Cálculo realizado sobre o salário mínimo, exceto quando houver disposição em legislação vigente, nesse caso, o cálculo é realizado considerando o salário base.</t>
  </si>
  <si>
    <t xml:space="preserve">Adicional Noturno</t>
  </si>
  <si>
    <t xml:space="preserve">Art. 73 da CLT. Observar percentual estabelecido em CCT.</t>
  </si>
  <si>
    <t xml:space="preserve">Adicional de Hora Noturna Reduzida</t>
  </si>
  <si>
    <t xml:space="preserve">Outros (especificar)</t>
  </si>
  <si>
    <t xml:space="preserve">TOTAL DO MÓDULO 1</t>
  </si>
  <si>
    <t xml:space="preserve">MÓDULO 2 – ENCARGOS E BENEFÍCIOS ANUAIS, MENSAIS E DIÁRIOS</t>
  </si>
  <si>
    <t xml:space="preserve">Submódulo 2.1 - 13º Salário, Férias e Adicional de Férias</t>
  </si>
  <si>
    <r>
      <rPr>
        <sz val="10"/>
        <color theme="1"/>
        <rFont val="Arial"/>
        <family val="0"/>
        <charset val="1"/>
      </rPr>
      <t xml:space="preserve">13 (Décimo-terceiro) salário</t>
    </r>
    <r>
      <rPr>
        <sz val="10"/>
        <color rgb="FFFF0000"/>
        <rFont val="Arial"/>
        <family val="0"/>
        <charset val="1"/>
      </rPr>
      <t xml:space="preserve"> </t>
    </r>
  </si>
  <si>
    <t xml:space="preserve">Adicional de Férias</t>
  </si>
  <si>
    <t xml:space="preserve">TOTAL SUBMÓDULO 2.1</t>
  </si>
  <si>
    <t xml:space="preserve">base 2.2</t>
  </si>
  <si>
    <t xml:space="preserve">Submódulo 2.2 - Encargos Previdenciários, FGTS e Outras Contribuições</t>
  </si>
  <si>
    <t xml:space="preserve">INSS </t>
  </si>
  <si>
    <t xml:space="preserve">Salário Educação </t>
  </si>
  <si>
    <t xml:space="preserve">SAT (Seguro Acidente de Trabalho)</t>
  </si>
  <si>
    <t xml:space="preserve">SESC ou SESI</t>
  </si>
  <si>
    <t xml:space="preserve">SENAI - SENAC </t>
  </si>
  <si>
    <t xml:space="preserve">SEBRAE </t>
  </si>
  <si>
    <t xml:space="preserve">INCRA </t>
  </si>
  <si>
    <t xml:space="preserve">FGTS </t>
  </si>
  <si>
    <t xml:space="preserve">TOTAL SUBMÓDULO 2.2</t>
  </si>
  <si>
    <t xml:space="preserve">Submódulo 2.3 - Benefícios Mensais e Diários</t>
  </si>
  <si>
    <t xml:space="preserve">Vale-transporte </t>
  </si>
  <si>
    <t xml:space="preserve">-</t>
  </si>
  <si>
    <t xml:space="preserve">A.1</t>
  </si>
  <si>
    <t xml:space="preserve">valor da tarifa da passagem</t>
  </si>
  <si>
    <t xml:space="preserve">A.2</t>
  </si>
  <si>
    <t xml:space="preserve">quantidade de vales por dia</t>
  </si>
  <si>
    <t xml:space="preserve">A.3</t>
  </si>
  <si>
    <t xml:space="preserve">quantidade de dias trabalhados</t>
  </si>
  <si>
    <t xml:space="preserve">A.4</t>
  </si>
  <si>
    <t xml:space="preserve">contrapartida do beneficiário (6% so salario base)</t>
  </si>
  <si>
    <t xml:space="preserve">Auxílio-Refeição/Alimentação  </t>
  </si>
  <si>
    <t xml:space="preserve">Cláusula décima quarta, parágrafo primeiro da CCT.</t>
  </si>
  <si>
    <t xml:space="preserve">Auxílio Saúde</t>
  </si>
  <si>
    <t xml:space="preserve">Cláusula décima sétima da CCT.</t>
  </si>
  <si>
    <t xml:space="preserve">Plano odontológico</t>
  </si>
  <si>
    <t xml:space="preserve">Seguro de vida</t>
  </si>
  <si>
    <t xml:space="preserve">Cláusula décima oitava da CCT.  Estimativa com base na mediana dos seguros de vida praticados em outras planilhas/contratações da FUERN com o mesmo cargo de Supervisor, que utilizam a mesma convenção coletiva: Processo 004410039.001304/2021-73 - R$ 2,00 - Contrato nº 03/2022 - CLAREAR COMÉRCIO E SERVIÇOS DE MÃO DE OBRA – EIRELI (id 21477911) Processo 04410035.001514/2022-82 - R$ 2,00 - Contrato nº 143/2022 - CLAREAR COMÉRCIO E SERVIÇOS DE MÃO DE OBRA – EIRELI (planilha id 32184991) e
 Processo 003210377.000076/2024-00 - COMPANHIA DE ÁGUAS E ESGOTOS DO RIO GRANDE DO NORTE - R$ 8,00 - Contrato nº 384/2024 - SHO SERVICES HOUSE OFFICE LTDA (planilha id 34173281) </t>
  </si>
  <si>
    <t xml:space="preserve">Benefício Social Sindical</t>
  </si>
  <si>
    <t xml:space="preserve">Cláusula décima nona da CCT.</t>
  </si>
  <si>
    <t xml:space="preserve">Jovem Aprendiz </t>
  </si>
  <si>
    <t xml:space="preserve">Cláusula Vigésima quinta da CCT</t>
  </si>
  <si>
    <t xml:space="preserve">Programa de Qualificação Profissional e Marketing (PQM)</t>
  </si>
  <si>
    <t xml:space="preserve">TOTAL SUBMÓDULO 2.3</t>
  </si>
  <si>
    <t xml:space="preserve">QUADRO-RESUMO DO MÓDULO 2 - ENCARGOS, BENEFÍCIOS ANUAIS, MENSAIS E DIÁRIOS</t>
  </si>
  <si>
    <t xml:space="preserve">Módulo 2 - Encargos, Benefícios Anuais, Mensais e Diários</t>
  </si>
  <si>
    <t xml:space="preserve">2.1</t>
  </si>
  <si>
    <t xml:space="preserve">13º Salário, Férias e Adicional de Férias</t>
  </si>
  <si>
    <t xml:space="preserve">2.2</t>
  </si>
  <si>
    <t xml:space="preserve">Encargos Previdenciários, FGTS e Outras Contribuições</t>
  </si>
  <si>
    <t xml:space="preserve">2.3</t>
  </si>
  <si>
    <t xml:space="preserve">Benefícios Mensais e Diários</t>
  </si>
  <si>
    <t xml:space="preserve">TOTAL DO MÓDULO 2</t>
  </si>
  <si>
    <t xml:space="preserve">MÓDULO 3 – PROVISÃO PARA RESCISÃO</t>
  </si>
  <si>
    <t xml:space="preserve">PROVISÃO PARA RESCISÃO</t>
  </si>
  <si>
    <t xml:space="preserve">Aviso Prévio Indenizado</t>
  </si>
  <si>
    <t xml:space="preserve">Incidência do FGTS sobre Aviso Prévio Indenizado</t>
  </si>
  <si>
    <t xml:space="preserve">Multa do FGTS sobre o Aviso Prévio Indenizado</t>
  </si>
  <si>
    <t xml:space="preserve">Aviso Prévio Trabalhado </t>
  </si>
  <si>
    <t xml:space="preserve">Incidência de Encargos Previdenciários, FGTS e outras contribuições sobre Aviso Prévio Trabalhado</t>
  </si>
  <si>
    <t xml:space="preserve">Multa do FGTS sobre o Aviso Prévio Trabalhado. </t>
  </si>
  <si>
    <t xml:space="preserve">TOTAL DO MÓDULO 3</t>
  </si>
  <si>
    <t xml:space="preserve">MÓDULO 4 – CUSTO DE REPOSIÇÃO DO PROFISSIONAL AUSENTE</t>
  </si>
  <si>
    <t xml:space="preserve">base 4</t>
  </si>
  <si>
    <t xml:space="preserve">Submódulo 4.1 - Substituto nas Ausências Legais</t>
  </si>
  <si>
    <t xml:space="preserve">Substituto na cobertura de Férias </t>
  </si>
  <si>
    <t xml:space="preserve">Substituto na cobertura de Ausências Legais</t>
  </si>
  <si>
    <t xml:space="preserve">Substituto na cobertura de Licença Paternidade</t>
  </si>
  <si>
    <r>
      <rPr>
        <sz val="10"/>
        <color theme="1"/>
        <rFont val="Arial"/>
        <family val="0"/>
        <charset val="1"/>
      </rPr>
      <t xml:space="preserve">Substituto na cobertura de Ausência por Acidente de Trabalho</t>
    </r>
    <r>
      <rPr>
        <sz val="10"/>
        <color rgb="FFFF0000"/>
        <rFont val="Arial"/>
        <family val="0"/>
        <charset val="1"/>
      </rPr>
      <t xml:space="preserve"> </t>
    </r>
  </si>
  <si>
    <t xml:space="preserve">Substituto na cobertura de Afastamento Maternidade</t>
  </si>
  <si>
    <t xml:space="preserve">Substituto na cobertura de Outras Ausências (especificar)</t>
  </si>
  <si>
    <t xml:space="preserve">TOTAL SUBMÓDULO 4.1</t>
  </si>
  <si>
    <t xml:space="preserve">Submódulo 4.2 - Substituto na Intrajornada</t>
  </si>
  <si>
    <t xml:space="preserve">Intervalo para Repouso ou Alimentação</t>
  </si>
  <si>
    <t xml:space="preserve">TOTAL SUBMÓDULO 4.2</t>
  </si>
  <si>
    <t xml:space="preserve">QUADRO-RESUMO DO MÓDULO 4 - CUSTO DE REPOSIÇÃO DO PROFISSIONAL AUSENTE</t>
  </si>
  <si>
    <t xml:space="preserve">Módulo 4 - Custo de Reposição do Profissional Ausente</t>
  </si>
  <si>
    <t xml:space="preserve">4.1</t>
  </si>
  <si>
    <t xml:space="preserve">Substituto nas Ausências Legais</t>
  </si>
  <si>
    <t xml:space="preserve">4.2</t>
  </si>
  <si>
    <t xml:space="preserve">Substituto na Intrajornada</t>
  </si>
  <si>
    <t xml:space="preserve">TOTAL DO MÓDULO 4</t>
  </si>
  <si>
    <t xml:space="preserve">MÓDULO 5 – INSUMOS DIVERSOS</t>
  </si>
  <si>
    <t xml:space="preserve">INSUMOS DIVERSOS</t>
  </si>
  <si>
    <t xml:space="preserve">Uniformes </t>
  </si>
  <si>
    <t xml:space="preserve">Conforme pesquisa de preços utilizando os critérios dos incisos I e II do Art. 5º da IN Seges/ME nº 65/2021.</t>
  </si>
  <si>
    <t xml:space="preserve">Materiais</t>
  </si>
  <si>
    <t xml:space="preserve">Equipamentos</t>
  </si>
  <si>
    <t xml:space="preserve">TOTAL DO MÓDULO 5</t>
  </si>
  <si>
    <t xml:space="preserve">MÓDULO 6 – CUSTOS INDIRETOS, TRIBUTOS E LUCRO</t>
  </si>
  <si>
    <t xml:space="preserve">CUSTOS INDIRETOS, TRIBUTOS E LUCRO</t>
  </si>
  <si>
    <t xml:space="preserve">Custos Indiretos</t>
  </si>
  <si>
    <t xml:space="preserve">Lucro</t>
  </si>
  <si>
    <t xml:space="preserve">TRIBUTOS </t>
  </si>
  <si>
    <t xml:space="preserve">Foram utilizadas as alíquotas tributárias do lucro real para fins de estimativa de custos e formação de preços, tendo em vista serem as maiores alíquotas possíveis, permitindo assim a competitividade entre licitantes.</t>
  </si>
  <si>
    <t xml:space="preserve">C.1</t>
  </si>
  <si>
    <t xml:space="preserve">PIS</t>
  </si>
  <si>
    <t xml:space="preserve">C.2</t>
  </si>
  <si>
    <t xml:space="preserve">COFINS</t>
  </si>
  <si>
    <t xml:space="preserve">C.3</t>
  </si>
  <si>
    <t xml:space="preserve">ISS</t>
  </si>
  <si>
    <t xml:space="preserve">TOTAL DO MÓDULO 6</t>
  </si>
  <si>
    <t xml:space="preserve">a)</t>
  </si>
  <si>
    <t xml:space="preserve">Tributos % = To = .............................................................</t>
  </si>
  <si>
    <t xml:space="preserve">b)</t>
  </si>
  <si>
    <t xml:space="preserve">(Total dos Módulos 1, 2, 3, 4 e 5+ Custos indiretos + lucro)= Po = ...................................</t>
  </si>
  <si>
    <t xml:space="preserve">c)</t>
  </si>
  <si>
    <t xml:space="preserve">Po / (1 - To) = P1 = ..............................................................................</t>
  </si>
  <si>
    <t xml:space="preserve">Valor dos Tributos = P1 - Po</t>
  </si>
  <si>
    <t xml:space="preserve">QUADRO RESUMO DO CUSTO POR EMPREGADO</t>
  </si>
  <si>
    <t xml:space="preserve">Mão-de-Obra vinculada à execução contratual (valor por empregado)</t>
  </si>
  <si>
    <t xml:space="preserve">Subtotal (A + B + C + D + E)</t>
  </si>
  <si>
    <t xml:space="preserve">PREÇO TOTAL POR EMPREGADO</t>
  </si>
  <si>
    <t xml:space="preserve">Quadro Resumo - VALOR MENSAL DOS SERVIÇOS</t>
  </si>
  <si>
    <t xml:space="preserve">Tipo de Serviço (A)</t>
  </si>
  <si>
    <t xml:space="preserve">Valor Por Empregado(B)</t>
  </si>
  <si>
    <t xml:space="preserve">Qde de Empregados por posto ( C )</t>
  </si>
  <si>
    <t xml:space="preserve">Valor Proposto por Posto (D) = (B x C)</t>
  </si>
  <si>
    <t xml:space="preserve">Qde Postos (E)</t>
  </si>
  <si>
    <t xml:space="preserve">VALOR MENSAL DOS SERVIÇOS</t>
  </si>
  <si>
    <t xml:space="preserve">Anexo III-D</t>
  </si>
  <si>
    <t xml:space="preserve">Quadro Demonstrativo - VALOR GLOBAL DA PROPOSTA</t>
  </si>
  <si>
    <t xml:space="preserve">VALOR GLOBAL DA PROPOSTA</t>
  </si>
  <si>
    <t xml:space="preserve">Descrição</t>
  </si>
  <si>
    <t xml:space="preserve">Valor Global da Proposta (valor mensal do serviço X nº meses do contrato).</t>
  </si>
  <si>
    <t xml:space="preserve">TOTAL</t>
  </si>
  <si>
    <t xml:space="preserve">FATOR 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</si>
</sst>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d/m/yyyy"/>
    <numFmt numFmtId="167" formatCode="&quot;R$ &quot;#,##0.00_);[RED]&quot;(R$ &quot;#,##0.00\)"/>
    <numFmt numFmtId="168" formatCode="0%"/>
    <numFmt numFmtId="169" formatCode="_-* #,##0.00_-;\-* #,##0.00_-;_-* \-??_-;_-@"/>
    <numFmt numFmtId="170" formatCode="0.00%"/>
    <numFmt numFmtId="171" formatCode="0.00"/>
    <numFmt numFmtId="172" formatCode="0.0%"/>
    <numFmt numFmtId="173" formatCode="_(&quot;R$ &quot;* #,##0.00_);_(&quot;R$ &quot;* \(#,##0.00\);_(&quot;R$ &quot;* \-??_);_(@_)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i val="true"/>
      <sz val="8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1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1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3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3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2.6328125" defaultRowHeight="12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.09"/>
    <col collapsed="false" customWidth="true" hidden="false" outlineLevel="0" max="3" min="3" style="1" width="15"/>
    <col collapsed="false" customWidth="true" hidden="false" outlineLevel="0" max="4" min="4" style="1" width="4.73"/>
    <col collapsed="false" customWidth="true" hidden="false" outlineLevel="0" max="5" min="5" style="1" width="10.91"/>
    <col collapsed="false" customWidth="true" hidden="false" outlineLevel="0" max="6" min="6" style="1" width="9.09"/>
    <col collapsed="false" customWidth="true" hidden="false" outlineLevel="0" max="7" min="7" style="1" width="19.09"/>
    <col collapsed="false" customWidth="true" hidden="false" outlineLevel="0" max="8" min="8" style="1" width="11"/>
    <col collapsed="false" customWidth="true" hidden="false" outlineLevel="0" max="9" min="9" style="1" width="13.73"/>
    <col collapsed="false" customWidth="true" hidden="false" outlineLevel="0" max="10" min="10" style="1" width="45.97"/>
    <col collapsed="false" customWidth="true" hidden="false" outlineLevel="0" max="26" min="11" style="1" width="9.09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75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  <c r="J4" s="7" t="s">
        <v>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8" t="s">
        <v>4</v>
      </c>
      <c r="B5" s="9" t="s">
        <v>5</v>
      </c>
      <c r="C5" s="9"/>
      <c r="D5" s="9"/>
      <c r="E5" s="9"/>
      <c r="F5" s="9"/>
      <c r="G5" s="9"/>
      <c r="H5" s="10" t="s">
        <v>6</v>
      </c>
      <c r="I5" s="10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75" hidden="false" customHeight="true" outlineLevel="0" collapsed="false">
      <c r="A6" s="8" t="s">
        <v>7</v>
      </c>
      <c r="B6" s="9" t="s">
        <v>8</v>
      </c>
      <c r="C6" s="9"/>
      <c r="D6" s="9"/>
      <c r="E6" s="9"/>
      <c r="F6" s="9"/>
      <c r="G6" s="9"/>
      <c r="H6" s="12" t="s">
        <v>9</v>
      </c>
      <c r="I6" s="12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75" hidden="false" customHeight="true" outlineLevel="0" collapsed="false">
      <c r="A7" s="8" t="s">
        <v>10</v>
      </c>
      <c r="B7" s="9" t="s">
        <v>11</v>
      </c>
      <c r="C7" s="9"/>
      <c r="D7" s="9"/>
      <c r="E7" s="9"/>
      <c r="F7" s="9"/>
      <c r="G7" s="9"/>
      <c r="H7" s="13" t="s">
        <v>12</v>
      </c>
      <c r="I7" s="13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true" outlineLevel="0" collapsed="false">
      <c r="A8" s="14" t="s">
        <v>13</v>
      </c>
      <c r="B8" s="9" t="s">
        <v>14</v>
      </c>
      <c r="C8" s="9"/>
      <c r="D8" s="9"/>
      <c r="E8" s="9"/>
      <c r="F8" s="9"/>
      <c r="G8" s="9"/>
      <c r="H8" s="15" t="s">
        <v>15</v>
      </c>
      <c r="I8" s="15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true" outlineLevel="0" collapsed="false">
      <c r="A9" s="8" t="s">
        <v>16</v>
      </c>
      <c r="B9" s="16" t="s">
        <v>17</v>
      </c>
      <c r="C9" s="16"/>
      <c r="D9" s="16"/>
      <c r="E9" s="16"/>
      <c r="F9" s="16"/>
      <c r="G9" s="16"/>
      <c r="H9" s="15" t="s">
        <v>18</v>
      </c>
      <c r="I9" s="15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true" outlineLevel="0" collapsed="false">
      <c r="A10" s="8"/>
      <c r="B10" s="16"/>
      <c r="C10" s="16"/>
      <c r="D10" s="16"/>
      <c r="E10" s="16"/>
      <c r="F10" s="16"/>
      <c r="G10" s="16"/>
      <c r="H10" s="15" t="s">
        <v>19</v>
      </c>
      <c r="I10" s="15" t="s">
        <v>20</v>
      </c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true" outlineLevel="0" collapsed="false">
      <c r="A11" s="8" t="s">
        <v>21</v>
      </c>
      <c r="B11" s="9" t="s">
        <v>22</v>
      </c>
      <c r="C11" s="9"/>
      <c r="D11" s="9"/>
      <c r="E11" s="9"/>
      <c r="F11" s="9"/>
      <c r="G11" s="9"/>
      <c r="H11" s="15" t="s">
        <v>23</v>
      </c>
      <c r="I11" s="15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75" hidden="false" customHeight="true" outlineLevel="0" collapsed="false">
      <c r="A12" s="8" t="s">
        <v>24</v>
      </c>
      <c r="B12" s="9" t="s">
        <v>25</v>
      </c>
      <c r="C12" s="9"/>
      <c r="D12" s="9"/>
      <c r="E12" s="9"/>
      <c r="F12" s="9"/>
      <c r="G12" s="9"/>
      <c r="H12" s="17" t="n">
        <v>45658</v>
      </c>
      <c r="I12" s="17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true" outlineLevel="0" collapsed="false">
      <c r="A13" s="8" t="s">
        <v>26</v>
      </c>
      <c r="B13" s="9" t="s">
        <v>27</v>
      </c>
      <c r="C13" s="9"/>
      <c r="D13" s="9"/>
      <c r="E13" s="9"/>
      <c r="F13" s="9"/>
      <c r="G13" s="9"/>
      <c r="H13" s="18" t="n">
        <v>2276.01</v>
      </c>
      <c r="I13" s="18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8" t="s">
        <v>28</v>
      </c>
      <c r="B14" s="9" t="s">
        <v>29</v>
      </c>
      <c r="C14" s="9"/>
      <c r="D14" s="9"/>
      <c r="E14" s="9"/>
      <c r="F14" s="9"/>
      <c r="G14" s="9"/>
      <c r="H14" s="15" t="n">
        <v>24</v>
      </c>
      <c r="I14" s="15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true" outlineLevel="0" collapsed="false">
      <c r="A16" s="6" t="s">
        <v>30</v>
      </c>
      <c r="B16" s="6"/>
      <c r="C16" s="6"/>
      <c r="D16" s="6"/>
      <c r="E16" s="6"/>
      <c r="F16" s="6"/>
      <c r="G16" s="6"/>
      <c r="H16" s="6"/>
      <c r="I16" s="6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true" outlineLevel="0" collapsed="false">
      <c r="A17" s="19" t="n">
        <v>1</v>
      </c>
      <c r="B17" s="19" t="s">
        <v>31</v>
      </c>
      <c r="C17" s="19"/>
      <c r="D17" s="19"/>
      <c r="E17" s="19"/>
      <c r="F17" s="19"/>
      <c r="G17" s="19"/>
      <c r="H17" s="19" t="s">
        <v>32</v>
      </c>
      <c r="I17" s="19" t="s">
        <v>33</v>
      </c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true" outlineLevel="0" collapsed="false">
      <c r="A18" s="19" t="s">
        <v>4</v>
      </c>
      <c r="B18" s="9" t="s">
        <v>34</v>
      </c>
      <c r="C18" s="9"/>
      <c r="D18" s="9"/>
      <c r="E18" s="9"/>
      <c r="F18" s="9"/>
      <c r="G18" s="9"/>
      <c r="H18" s="20" t="n">
        <v>1</v>
      </c>
      <c r="I18" s="21" t="n">
        <f aca="false">H13</f>
        <v>2276.01</v>
      </c>
      <c r="J18" s="22" t="s">
        <v>35</v>
      </c>
      <c r="K18" s="23"/>
      <c r="L18" s="23"/>
      <c r="M18" s="23"/>
      <c r="N18" s="2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true" outlineLevel="0" collapsed="false">
      <c r="A19" s="19" t="s">
        <v>7</v>
      </c>
      <c r="B19" s="9" t="s">
        <v>36</v>
      </c>
      <c r="C19" s="9"/>
      <c r="D19" s="9"/>
      <c r="E19" s="9"/>
      <c r="F19" s="9"/>
      <c r="G19" s="9"/>
      <c r="H19" s="24"/>
      <c r="I19" s="25" t="n">
        <f aca="false">I18*H19</f>
        <v>0</v>
      </c>
      <c r="J19" s="26" t="s">
        <v>37</v>
      </c>
      <c r="K19" s="23"/>
      <c r="L19" s="23"/>
      <c r="M19" s="23"/>
      <c r="N19" s="2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true" outlineLevel="0" collapsed="false">
      <c r="A20" s="19" t="s">
        <v>10</v>
      </c>
      <c r="B20" s="9" t="s">
        <v>38</v>
      </c>
      <c r="C20" s="9"/>
      <c r="D20" s="9"/>
      <c r="E20" s="9"/>
      <c r="F20" s="9"/>
      <c r="G20" s="9"/>
      <c r="H20" s="24"/>
      <c r="I20" s="25" t="n">
        <f aca="false">1518*H20</f>
        <v>0</v>
      </c>
      <c r="J20" s="26" t="s">
        <v>39</v>
      </c>
      <c r="K20" s="23"/>
      <c r="L20" s="23"/>
      <c r="M20" s="23"/>
      <c r="N20" s="2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true" outlineLevel="0" collapsed="false">
      <c r="A21" s="19" t="s">
        <v>13</v>
      </c>
      <c r="B21" s="9" t="s">
        <v>40</v>
      </c>
      <c r="C21" s="9"/>
      <c r="D21" s="9"/>
      <c r="E21" s="9"/>
      <c r="F21" s="9"/>
      <c r="G21" s="9"/>
      <c r="H21" s="24"/>
      <c r="I21" s="25" t="n">
        <v>0</v>
      </c>
      <c r="J21" s="26" t="s">
        <v>41</v>
      </c>
      <c r="K21" s="23"/>
      <c r="L21" s="23"/>
      <c r="M21" s="23"/>
      <c r="N21" s="2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true" outlineLevel="0" collapsed="false">
      <c r="A22" s="19" t="s">
        <v>16</v>
      </c>
      <c r="B22" s="9" t="s">
        <v>42</v>
      </c>
      <c r="C22" s="9"/>
      <c r="D22" s="9"/>
      <c r="E22" s="9"/>
      <c r="F22" s="9"/>
      <c r="G22" s="9"/>
      <c r="H22" s="24"/>
      <c r="I22" s="25" t="n">
        <v>0</v>
      </c>
      <c r="J22" s="1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19" t="s">
        <v>21</v>
      </c>
      <c r="B23" s="9" t="s">
        <v>43</v>
      </c>
      <c r="C23" s="9"/>
      <c r="D23" s="9"/>
      <c r="E23" s="9"/>
      <c r="F23" s="9"/>
      <c r="G23" s="9"/>
      <c r="H23" s="24"/>
      <c r="I23" s="25" t="n">
        <v>0</v>
      </c>
      <c r="J23" s="1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19" t="s">
        <v>44</v>
      </c>
      <c r="B24" s="19"/>
      <c r="C24" s="19"/>
      <c r="D24" s="19"/>
      <c r="E24" s="19"/>
      <c r="F24" s="19"/>
      <c r="G24" s="19"/>
      <c r="H24" s="19"/>
      <c r="I24" s="27" t="n">
        <f aca="false">TRUNC(SUM(I18:I23),2)</f>
        <v>2276.01</v>
      </c>
      <c r="J24" s="1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9"/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6" t="s">
        <v>45</v>
      </c>
      <c r="B26" s="6"/>
      <c r="C26" s="6"/>
      <c r="D26" s="6"/>
      <c r="E26" s="6"/>
      <c r="F26" s="6"/>
      <c r="G26" s="6"/>
      <c r="H26" s="6"/>
      <c r="I26" s="6"/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19" t="s">
        <v>46</v>
      </c>
      <c r="B27" s="19"/>
      <c r="C27" s="19"/>
      <c r="D27" s="19"/>
      <c r="E27" s="19"/>
      <c r="F27" s="19"/>
      <c r="G27" s="19"/>
      <c r="H27" s="19" t="s">
        <v>32</v>
      </c>
      <c r="I27" s="30" t="s">
        <v>33</v>
      </c>
      <c r="J27" s="1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19" t="s">
        <v>4</v>
      </c>
      <c r="B28" s="9" t="s">
        <v>47</v>
      </c>
      <c r="C28" s="9"/>
      <c r="D28" s="9"/>
      <c r="E28" s="9"/>
      <c r="F28" s="9"/>
      <c r="G28" s="9"/>
      <c r="H28" s="24" t="n">
        <f aca="false">1/12</f>
        <v>0.0833333333333333</v>
      </c>
      <c r="I28" s="25" t="n">
        <f aca="false">TRUNC($I$24*H28,2)</f>
        <v>189.66</v>
      </c>
      <c r="J28" s="1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19" t="s">
        <v>7</v>
      </c>
      <c r="B29" s="9" t="s">
        <v>48</v>
      </c>
      <c r="C29" s="9"/>
      <c r="D29" s="9"/>
      <c r="E29" s="9"/>
      <c r="F29" s="9"/>
      <c r="G29" s="9"/>
      <c r="H29" s="31" t="n">
        <f aca="false">1/3/12</f>
        <v>0.0277777777777778</v>
      </c>
      <c r="I29" s="25" t="n">
        <f aca="false">TRUNC($I$24*H29,2)</f>
        <v>63.22</v>
      </c>
      <c r="J29" s="2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19" t="s">
        <v>49</v>
      </c>
      <c r="B30" s="19"/>
      <c r="C30" s="19"/>
      <c r="D30" s="19"/>
      <c r="E30" s="19"/>
      <c r="F30" s="19"/>
      <c r="G30" s="19"/>
      <c r="H30" s="32" t="n">
        <f aca="false">TRUNC(SUM(H28:H29),4)</f>
        <v>0.1111</v>
      </c>
      <c r="I30" s="27" t="n">
        <f aca="false">TRUNC(SUM(I28:I29),2)</f>
        <v>252.88</v>
      </c>
      <c r="J30" s="1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7" t="s">
        <v>50</v>
      </c>
      <c r="K31" s="2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19" t="s">
        <v>51</v>
      </c>
      <c r="B32" s="19"/>
      <c r="C32" s="19"/>
      <c r="D32" s="19"/>
      <c r="E32" s="19"/>
      <c r="F32" s="19"/>
      <c r="G32" s="19"/>
      <c r="H32" s="19" t="s">
        <v>32</v>
      </c>
      <c r="I32" s="19" t="s">
        <v>33</v>
      </c>
      <c r="J32" s="1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19" t="s">
        <v>4</v>
      </c>
      <c r="B33" s="9" t="s">
        <v>52</v>
      </c>
      <c r="C33" s="9"/>
      <c r="D33" s="9"/>
      <c r="E33" s="9"/>
      <c r="F33" s="9"/>
      <c r="G33" s="9"/>
      <c r="H33" s="24" t="n">
        <v>0.2</v>
      </c>
      <c r="I33" s="25" t="n">
        <f aca="false">H33*($I$24+$I$30)</f>
        <v>505.778</v>
      </c>
      <c r="J33" s="1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19" t="s">
        <v>7</v>
      </c>
      <c r="B34" s="9" t="s">
        <v>53</v>
      </c>
      <c r="C34" s="9"/>
      <c r="D34" s="9"/>
      <c r="E34" s="9"/>
      <c r="F34" s="9"/>
      <c r="G34" s="9"/>
      <c r="H34" s="24" t="n">
        <v>0.025</v>
      </c>
      <c r="I34" s="25" t="n">
        <f aca="false">H34*($I$24+$I$30)</f>
        <v>63.22225</v>
      </c>
      <c r="J34" s="1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19" t="s">
        <v>10</v>
      </c>
      <c r="B35" s="9" t="s">
        <v>54</v>
      </c>
      <c r="C35" s="9"/>
      <c r="D35" s="9"/>
      <c r="E35" s="9"/>
      <c r="F35" s="9"/>
      <c r="G35" s="9"/>
      <c r="H35" s="24" t="n">
        <v>0.03</v>
      </c>
      <c r="I35" s="25" t="n">
        <f aca="false">H35*($I$24+$I$30)</f>
        <v>75.8667</v>
      </c>
      <c r="J35" s="1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19" t="s">
        <v>13</v>
      </c>
      <c r="B36" s="9" t="s">
        <v>55</v>
      </c>
      <c r="C36" s="9"/>
      <c r="D36" s="9"/>
      <c r="E36" s="9"/>
      <c r="F36" s="9"/>
      <c r="G36" s="9"/>
      <c r="H36" s="24" t="n">
        <v>0.015</v>
      </c>
      <c r="I36" s="25" t="n">
        <f aca="false">H36*($I$24+$I$30)</f>
        <v>37.93335</v>
      </c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19" t="s">
        <v>16</v>
      </c>
      <c r="B37" s="9" t="s">
        <v>56</v>
      </c>
      <c r="C37" s="9"/>
      <c r="D37" s="9"/>
      <c r="E37" s="9"/>
      <c r="F37" s="9"/>
      <c r="G37" s="9"/>
      <c r="H37" s="24" t="n">
        <v>0.01</v>
      </c>
      <c r="I37" s="25" t="n">
        <f aca="false">H37*($I$24+$I$30)</f>
        <v>25.2889</v>
      </c>
      <c r="J37" s="1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19" t="s">
        <v>21</v>
      </c>
      <c r="B38" s="9" t="s">
        <v>57</v>
      </c>
      <c r="C38" s="9"/>
      <c r="D38" s="9"/>
      <c r="E38" s="9"/>
      <c r="F38" s="9"/>
      <c r="G38" s="9"/>
      <c r="H38" s="24" t="n">
        <v>0.006</v>
      </c>
      <c r="I38" s="25" t="n">
        <f aca="false">H38*($I$24+$I$30)</f>
        <v>15.17334</v>
      </c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19" t="s">
        <v>24</v>
      </c>
      <c r="B39" s="9" t="s">
        <v>58</v>
      </c>
      <c r="C39" s="9"/>
      <c r="D39" s="9"/>
      <c r="E39" s="9"/>
      <c r="F39" s="9"/>
      <c r="G39" s="9"/>
      <c r="H39" s="24" t="n">
        <v>0.002</v>
      </c>
      <c r="I39" s="25" t="n">
        <f aca="false">H39*($I$24+$I$30)</f>
        <v>5.05778</v>
      </c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19" t="s">
        <v>26</v>
      </c>
      <c r="B40" s="9" t="s">
        <v>59</v>
      </c>
      <c r="C40" s="9"/>
      <c r="D40" s="9"/>
      <c r="E40" s="9"/>
      <c r="F40" s="9"/>
      <c r="G40" s="9"/>
      <c r="H40" s="24" t="n">
        <v>0.08</v>
      </c>
      <c r="I40" s="25" t="n">
        <f aca="false">H40*($I$24+$I$30)</f>
        <v>202.3112</v>
      </c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19" t="s">
        <v>60</v>
      </c>
      <c r="B41" s="19"/>
      <c r="C41" s="19"/>
      <c r="D41" s="19"/>
      <c r="E41" s="19"/>
      <c r="F41" s="19"/>
      <c r="G41" s="19"/>
      <c r="H41" s="32" t="n">
        <f aca="false">SUM(H33:H40)</f>
        <v>0.368</v>
      </c>
      <c r="I41" s="27" t="n">
        <f aca="false">TRUNC(SUM(I33:I40),2)</f>
        <v>930.63</v>
      </c>
      <c r="J41" s="1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1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19" t="s">
        <v>61</v>
      </c>
      <c r="B43" s="19"/>
      <c r="C43" s="19"/>
      <c r="D43" s="19"/>
      <c r="E43" s="19"/>
      <c r="F43" s="19"/>
      <c r="G43" s="19"/>
      <c r="H43" s="32"/>
      <c r="I43" s="19" t="s">
        <v>33</v>
      </c>
      <c r="J43" s="1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19" t="s">
        <v>4</v>
      </c>
      <c r="B44" s="11" t="s">
        <v>62</v>
      </c>
      <c r="C44" s="11"/>
      <c r="D44" s="11"/>
      <c r="E44" s="11"/>
      <c r="F44" s="11"/>
      <c r="G44" s="11"/>
      <c r="H44" s="35" t="s">
        <v>63</v>
      </c>
      <c r="I44" s="36" t="n">
        <f aca="false">IF((H45*H46*H47-(I18*H48))&lt;0,0,(H45*H46*H47-(I18*H48)))</f>
        <v>8.63939999999997</v>
      </c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37" t="s">
        <v>64</v>
      </c>
      <c r="B45" s="38" t="s">
        <v>65</v>
      </c>
      <c r="C45" s="38"/>
      <c r="D45" s="38"/>
      <c r="E45" s="38"/>
      <c r="F45" s="38"/>
      <c r="G45" s="38"/>
      <c r="H45" s="39" t="n">
        <v>3.3</v>
      </c>
      <c r="I45" s="40" t="n">
        <v>0</v>
      </c>
      <c r="J45" s="1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37" t="s">
        <v>66</v>
      </c>
      <c r="B46" s="38" t="s">
        <v>67</v>
      </c>
      <c r="C46" s="38"/>
      <c r="D46" s="38"/>
      <c r="E46" s="38"/>
      <c r="F46" s="38"/>
      <c r="G46" s="38"/>
      <c r="H46" s="41" t="n">
        <v>2</v>
      </c>
      <c r="I46" s="40" t="n">
        <v>0</v>
      </c>
      <c r="J46" s="1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37" t="s">
        <v>68</v>
      </c>
      <c r="B47" s="38" t="s">
        <v>69</v>
      </c>
      <c r="C47" s="38"/>
      <c r="D47" s="38"/>
      <c r="E47" s="38"/>
      <c r="F47" s="38"/>
      <c r="G47" s="38"/>
      <c r="H47" s="41" t="n">
        <v>22</v>
      </c>
      <c r="I47" s="40" t="n">
        <v>0</v>
      </c>
      <c r="J47" s="1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37" t="s">
        <v>70</v>
      </c>
      <c r="B48" s="38" t="s">
        <v>71</v>
      </c>
      <c r="C48" s="38"/>
      <c r="D48" s="38"/>
      <c r="E48" s="38"/>
      <c r="F48" s="38"/>
      <c r="G48" s="38"/>
      <c r="H48" s="42" t="n">
        <v>0.06</v>
      </c>
      <c r="I48" s="40" t="n">
        <v>0</v>
      </c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19" t="s">
        <v>7</v>
      </c>
      <c r="B49" s="11" t="s">
        <v>72</v>
      </c>
      <c r="C49" s="11"/>
      <c r="D49" s="11"/>
      <c r="E49" s="11"/>
      <c r="F49" s="11"/>
      <c r="G49" s="11"/>
      <c r="H49" s="35" t="s">
        <v>63</v>
      </c>
      <c r="I49" s="36" t="n">
        <v>0</v>
      </c>
      <c r="J49" s="11" t="s">
        <v>73</v>
      </c>
      <c r="L49" s="23"/>
      <c r="M49" s="2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19" t="s">
        <v>10</v>
      </c>
      <c r="B50" s="11" t="s">
        <v>74</v>
      </c>
      <c r="C50" s="11"/>
      <c r="D50" s="11"/>
      <c r="E50" s="11"/>
      <c r="F50" s="11"/>
      <c r="G50" s="11"/>
      <c r="H50" s="35" t="s">
        <v>63</v>
      </c>
      <c r="I50" s="36" t="n">
        <v>137.98</v>
      </c>
      <c r="J50" s="11" t="s">
        <v>75</v>
      </c>
      <c r="M50" s="2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19" t="s">
        <v>13</v>
      </c>
      <c r="B51" s="43" t="s">
        <v>76</v>
      </c>
      <c r="C51" s="43"/>
      <c r="D51" s="43"/>
      <c r="E51" s="43"/>
      <c r="F51" s="43"/>
      <c r="G51" s="43"/>
      <c r="H51" s="15" t="s">
        <v>63</v>
      </c>
      <c r="I51" s="36" t="n">
        <v>0</v>
      </c>
      <c r="J51" s="44"/>
      <c r="K51" s="23"/>
      <c r="L51" s="23"/>
      <c r="M51" s="2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19" t="s">
        <v>16</v>
      </c>
      <c r="B52" s="22" t="s">
        <v>77</v>
      </c>
      <c r="C52" s="22"/>
      <c r="D52" s="22"/>
      <c r="E52" s="22"/>
      <c r="F52" s="22"/>
      <c r="G52" s="22"/>
      <c r="H52" s="35" t="s">
        <v>63</v>
      </c>
      <c r="I52" s="36" t="n">
        <v>2</v>
      </c>
      <c r="J52" s="45" t="s">
        <v>78</v>
      </c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12.75" hidden="false" customHeight="true" outlineLevel="0" collapsed="false">
      <c r="A53" s="19" t="s">
        <v>21</v>
      </c>
      <c r="B53" s="47" t="s">
        <v>79</v>
      </c>
      <c r="C53" s="47"/>
      <c r="D53" s="47"/>
      <c r="E53" s="47"/>
      <c r="F53" s="47"/>
      <c r="G53" s="47"/>
      <c r="H53" s="35" t="s">
        <v>63</v>
      </c>
      <c r="I53" s="36" t="n">
        <v>16.13</v>
      </c>
      <c r="J53" s="45" t="s">
        <v>80</v>
      </c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2.75" hidden="false" customHeight="true" outlineLevel="0" collapsed="false">
      <c r="A54" s="19" t="s">
        <v>24</v>
      </c>
      <c r="B54" s="47" t="s">
        <v>81</v>
      </c>
      <c r="C54" s="47"/>
      <c r="D54" s="47"/>
      <c r="E54" s="47"/>
      <c r="F54" s="47"/>
      <c r="G54" s="47"/>
      <c r="H54" s="35" t="s">
        <v>63</v>
      </c>
      <c r="I54" s="36" t="n">
        <v>97.66</v>
      </c>
      <c r="J54" s="45" t="s">
        <v>82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2.75" hidden="false" customHeight="true" outlineLevel="0" collapsed="false">
      <c r="A55" s="19" t="s">
        <v>26</v>
      </c>
      <c r="B55" s="47" t="s">
        <v>83</v>
      </c>
      <c r="C55" s="47"/>
      <c r="D55" s="47"/>
      <c r="E55" s="47"/>
      <c r="F55" s="47"/>
      <c r="G55" s="47"/>
      <c r="H55" s="35"/>
      <c r="I55" s="36" t="n">
        <v>5.6</v>
      </c>
      <c r="J55" s="45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2.75" hidden="false" customHeight="true" outlineLevel="0" collapsed="false">
      <c r="A56" s="19" t="s">
        <v>84</v>
      </c>
      <c r="B56" s="19"/>
      <c r="C56" s="19"/>
      <c r="D56" s="19"/>
      <c r="E56" s="19"/>
      <c r="F56" s="19"/>
      <c r="G56" s="19"/>
      <c r="H56" s="19"/>
      <c r="I56" s="48" t="n">
        <f aca="false">SUM(I44:I55)</f>
        <v>268.0094</v>
      </c>
      <c r="J56" s="1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1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49" t="s">
        <v>85</v>
      </c>
      <c r="B58" s="49"/>
      <c r="C58" s="49"/>
      <c r="D58" s="49"/>
      <c r="E58" s="49"/>
      <c r="F58" s="49"/>
      <c r="G58" s="49"/>
      <c r="H58" s="49"/>
      <c r="I58" s="49"/>
      <c r="J58" s="1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19" t="s">
        <v>86</v>
      </c>
      <c r="B59" s="19"/>
      <c r="C59" s="19"/>
      <c r="D59" s="19"/>
      <c r="E59" s="19"/>
      <c r="F59" s="19"/>
      <c r="G59" s="19"/>
      <c r="H59" s="19"/>
      <c r="I59" s="19" t="s">
        <v>33</v>
      </c>
      <c r="J59" s="1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19" t="s">
        <v>87</v>
      </c>
      <c r="B60" s="35" t="s">
        <v>88</v>
      </c>
      <c r="C60" s="35"/>
      <c r="D60" s="35"/>
      <c r="E60" s="35"/>
      <c r="F60" s="35"/>
      <c r="G60" s="35"/>
      <c r="H60" s="35"/>
      <c r="I60" s="25" t="n">
        <f aca="false">I30</f>
        <v>252.88</v>
      </c>
      <c r="J60" s="1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19" t="s">
        <v>89</v>
      </c>
      <c r="B61" s="35" t="s">
        <v>90</v>
      </c>
      <c r="C61" s="35"/>
      <c r="D61" s="35"/>
      <c r="E61" s="35"/>
      <c r="F61" s="35"/>
      <c r="G61" s="35"/>
      <c r="H61" s="35"/>
      <c r="I61" s="25" t="n">
        <f aca="false">I41</f>
        <v>930.63</v>
      </c>
      <c r="J61" s="1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19" t="s">
        <v>91</v>
      </c>
      <c r="B62" s="35" t="s">
        <v>92</v>
      </c>
      <c r="C62" s="35"/>
      <c r="D62" s="35"/>
      <c r="E62" s="35"/>
      <c r="F62" s="35"/>
      <c r="G62" s="35"/>
      <c r="H62" s="35"/>
      <c r="I62" s="25" t="n">
        <f aca="false">I56</f>
        <v>268.0094</v>
      </c>
      <c r="J62" s="1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19" t="s">
        <v>93</v>
      </c>
      <c r="B63" s="19"/>
      <c r="C63" s="19"/>
      <c r="D63" s="19"/>
      <c r="E63" s="19"/>
      <c r="F63" s="19"/>
      <c r="G63" s="19"/>
      <c r="H63" s="19"/>
      <c r="I63" s="27" t="n">
        <f aca="false">TRUNC(SUM(I60:I62),2)</f>
        <v>1451.51</v>
      </c>
      <c r="J63" s="1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1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6" t="s">
        <v>94</v>
      </c>
      <c r="B65" s="6"/>
      <c r="C65" s="6"/>
      <c r="D65" s="6"/>
      <c r="E65" s="6"/>
      <c r="F65" s="6"/>
      <c r="G65" s="6"/>
      <c r="H65" s="6"/>
      <c r="I65" s="6"/>
      <c r="J65" s="1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19" t="n">
        <v>3</v>
      </c>
      <c r="B66" s="19" t="s">
        <v>95</v>
      </c>
      <c r="C66" s="19"/>
      <c r="D66" s="19"/>
      <c r="E66" s="19"/>
      <c r="F66" s="19"/>
      <c r="G66" s="19"/>
      <c r="H66" s="19" t="s">
        <v>32</v>
      </c>
      <c r="I66" s="19" t="s">
        <v>33</v>
      </c>
      <c r="J66" s="1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19" t="s">
        <v>4</v>
      </c>
      <c r="B67" s="9" t="s">
        <v>96</v>
      </c>
      <c r="C67" s="9"/>
      <c r="D67" s="9"/>
      <c r="E67" s="9"/>
      <c r="F67" s="9"/>
      <c r="G67" s="9"/>
      <c r="H67" s="24" t="n">
        <f aca="false">5%*(1/12)</f>
        <v>0.00416666666666667</v>
      </c>
      <c r="I67" s="25" t="n">
        <f aca="false">$I$24*H67</f>
        <v>9.483375</v>
      </c>
      <c r="J67" s="1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19" t="s">
        <v>7</v>
      </c>
      <c r="B68" s="9" t="s">
        <v>97</v>
      </c>
      <c r="C68" s="9"/>
      <c r="D68" s="9"/>
      <c r="E68" s="9"/>
      <c r="F68" s="9"/>
      <c r="G68" s="9"/>
      <c r="H68" s="24" t="n">
        <f aca="false">H67*8%</f>
        <v>0.000333333333333333</v>
      </c>
      <c r="I68" s="25" t="n">
        <f aca="false">$I$24*H68</f>
        <v>0.75867</v>
      </c>
      <c r="J68" s="1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19" t="s">
        <v>10</v>
      </c>
      <c r="B69" s="9" t="s">
        <v>98</v>
      </c>
      <c r="C69" s="9"/>
      <c r="D69" s="9"/>
      <c r="E69" s="9"/>
      <c r="F69" s="9"/>
      <c r="G69" s="9"/>
      <c r="H69" s="24" t="n">
        <f aca="false">(1+0.0833+0.1111)*8%*40%*5%</f>
        <v>0.00191104</v>
      </c>
      <c r="I69" s="25" t="n">
        <f aca="false">$I$24*H69</f>
        <v>4.3495461504</v>
      </c>
      <c r="J69" s="1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19" t="s">
        <v>13</v>
      </c>
      <c r="B70" s="9" t="s">
        <v>99</v>
      </c>
      <c r="C70" s="9"/>
      <c r="D70" s="9"/>
      <c r="E70" s="9"/>
      <c r="F70" s="9"/>
      <c r="G70" s="9"/>
      <c r="H70" s="24" t="n">
        <f aca="false">(7/30)/12</f>
        <v>0.0194444444444444</v>
      </c>
      <c r="I70" s="25" t="n">
        <f aca="false">$I$24*H70</f>
        <v>44.25575</v>
      </c>
      <c r="J70" s="5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19" t="s">
        <v>16</v>
      </c>
      <c r="B71" s="9" t="s">
        <v>100</v>
      </c>
      <c r="C71" s="9"/>
      <c r="D71" s="9"/>
      <c r="E71" s="9"/>
      <c r="F71" s="9"/>
      <c r="G71" s="9"/>
      <c r="H71" s="24" t="n">
        <f aca="false">H41*H70</f>
        <v>0.00715555555555556</v>
      </c>
      <c r="I71" s="25" t="n">
        <f aca="false">$I$24*H71</f>
        <v>16.286116</v>
      </c>
      <c r="J71" s="1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19" t="s">
        <v>21</v>
      </c>
      <c r="B72" s="9" t="s">
        <v>101</v>
      </c>
      <c r="C72" s="9"/>
      <c r="D72" s="9"/>
      <c r="E72" s="9"/>
      <c r="F72" s="9"/>
      <c r="G72" s="9"/>
      <c r="H72" s="24" t="n">
        <f aca="false">(1+0.0833+0.1111)*8%*40%</f>
        <v>0.0382208</v>
      </c>
      <c r="I72" s="25" t="n">
        <f aca="false">$I$24*H72</f>
        <v>86.990923008</v>
      </c>
      <c r="J72" s="1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19" t="s">
        <v>102</v>
      </c>
      <c r="B73" s="19"/>
      <c r="C73" s="19"/>
      <c r="D73" s="19"/>
      <c r="E73" s="19"/>
      <c r="F73" s="19"/>
      <c r="G73" s="19"/>
      <c r="H73" s="32" t="n">
        <f aca="false">TRUNC(SUM(H67:H72),4)</f>
        <v>0.0712</v>
      </c>
      <c r="I73" s="27" t="n">
        <f aca="false">TRUNC(SUM(I67:I72),2)</f>
        <v>162.12</v>
      </c>
      <c r="J73" s="1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1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6" t="s">
        <v>103</v>
      </c>
      <c r="B75" s="6"/>
      <c r="C75" s="6"/>
      <c r="D75" s="6"/>
      <c r="E75" s="6"/>
      <c r="F75" s="6"/>
      <c r="G75" s="6"/>
      <c r="H75" s="6"/>
      <c r="I75" s="6"/>
      <c r="J75" s="7" t="s">
        <v>104</v>
      </c>
      <c r="K75" s="29" t="n">
        <f aca="false">I24+I63+I73</f>
        <v>3889.64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19" t="s">
        <v>105</v>
      </c>
      <c r="B76" s="19"/>
      <c r="C76" s="19"/>
      <c r="D76" s="19"/>
      <c r="E76" s="19"/>
      <c r="F76" s="19"/>
      <c r="G76" s="19"/>
      <c r="H76" s="19" t="s">
        <v>32</v>
      </c>
      <c r="I76" s="19" t="s">
        <v>33</v>
      </c>
      <c r="J76" s="1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19" t="s">
        <v>4</v>
      </c>
      <c r="B77" s="9" t="s">
        <v>106</v>
      </c>
      <c r="C77" s="9"/>
      <c r="D77" s="9"/>
      <c r="E77" s="9"/>
      <c r="F77" s="9"/>
      <c r="G77" s="9"/>
      <c r="H77" s="24" t="n">
        <f aca="false">1/12</f>
        <v>0.0833333333333333</v>
      </c>
      <c r="I77" s="25" t="n">
        <f aca="false">($I$24+$I$63+$I$73)*H77</f>
        <v>324.136666666667</v>
      </c>
      <c r="J77" s="1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19" t="s">
        <v>7</v>
      </c>
      <c r="B78" s="9" t="s">
        <v>107</v>
      </c>
      <c r="C78" s="9"/>
      <c r="D78" s="9"/>
      <c r="E78" s="9"/>
      <c r="F78" s="9"/>
      <c r="G78" s="9"/>
      <c r="H78" s="24" t="n">
        <f aca="false">2.96/30/12</f>
        <v>0.00822222222222222</v>
      </c>
      <c r="I78" s="25" t="n">
        <f aca="false">($I$24+$I$63+$I$73)*H78</f>
        <v>31.9814844444445</v>
      </c>
      <c r="J78" s="1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19" t="s">
        <v>10</v>
      </c>
      <c r="B79" s="9" t="s">
        <v>108</v>
      </c>
      <c r="C79" s="9"/>
      <c r="D79" s="9"/>
      <c r="E79" s="9"/>
      <c r="F79" s="9"/>
      <c r="G79" s="9"/>
      <c r="H79" s="24" t="n">
        <f aca="false">5/30/12*1.5%</f>
        <v>0.000208333333333333</v>
      </c>
      <c r="I79" s="25" t="n">
        <f aca="false">($I$24+$I$63+$I$73)*H79</f>
        <v>0.810341666666667</v>
      </c>
      <c r="J79" s="1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19" t="s">
        <v>13</v>
      </c>
      <c r="B80" s="9" t="s">
        <v>109</v>
      </c>
      <c r="C80" s="9"/>
      <c r="D80" s="9"/>
      <c r="E80" s="9"/>
      <c r="F80" s="9"/>
      <c r="G80" s="9"/>
      <c r="H80" s="24" t="n">
        <f aca="false">15/30/12*0.78%</f>
        <v>0.000325</v>
      </c>
      <c r="I80" s="25" t="n">
        <f aca="false">($I$24+$I$63+$I$73)*H80</f>
        <v>1.264133</v>
      </c>
      <c r="J80" s="1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19" t="s">
        <v>16</v>
      </c>
      <c r="B81" s="9" t="s">
        <v>110</v>
      </c>
      <c r="C81" s="9"/>
      <c r="D81" s="9"/>
      <c r="E81" s="9"/>
      <c r="F81" s="9"/>
      <c r="G81" s="9"/>
      <c r="H81" s="24" t="n">
        <f aca="false">4*48.33%*0.32%</f>
        <v>0.00618624</v>
      </c>
      <c r="I81" s="25" t="n">
        <f aca="false">($I$24+$I$63+$I$73)*H81</f>
        <v>24.0622465536</v>
      </c>
      <c r="J81" s="11"/>
      <c r="K81" s="5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19" t="s">
        <v>21</v>
      </c>
      <c r="B82" s="9" t="s">
        <v>111</v>
      </c>
      <c r="C82" s="9"/>
      <c r="D82" s="9"/>
      <c r="E82" s="9"/>
      <c r="F82" s="9"/>
      <c r="G82" s="9"/>
      <c r="H82" s="24" t="n">
        <v>0</v>
      </c>
      <c r="I82" s="25" t="n">
        <f aca="false">($I$24+$I$63+$I$73)*H82</f>
        <v>0</v>
      </c>
      <c r="J82" s="1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19" t="s">
        <v>112</v>
      </c>
      <c r="B83" s="19"/>
      <c r="C83" s="19"/>
      <c r="D83" s="19"/>
      <c r="E83" s="19"/>
      <c r="F83" s="19"/>
      <c r="G83" s="19"/>
      <c r="H83" s="32" t="n">
        <f aca="false">TRUNC(SUM(H77:H82),4)</f>
        <v>0.0982</v>
      </c>
      <c r="I83" s="27" t="n">
        <f aca="false">TRUNC(SUM(I77:I82),2)</f>
        <v>382.25</v>
      </c>
      <c r="J83" s="1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1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19" t="s">
        <v>113</v>
      </c>
      <c r="B85" s="19"/>
      <c r="C85" s="19"/>
      <c r="D85" s="19"/>
      <c r="E85" s="19"/>
      <c r="F85" s="19"/>
      <c r="G85" s="19"/>
      <c r="H85" s="19" t="s">
        <v>32</v>
      </c>
      <c r="I85" s="19" t="s">
        <v>33</v>
      </c>
      <c r="J85" s="1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19" t="s">
        <v>4</v>
      </c>
      <c r="B86" s="9" t="s">
        <v>114</v>
      </c>
      <c r="C86" s="9"/>
      <c r="D86" s="9"/>
      <c r="E86" s="9"/>
      <c r="F86" s="9"/>
      <c r="G86" s="9"/>
      <c r="H86" s="24" t="n">
        <v>0</v>
      </c>
      <c r="I86" s="25" t="n">
        <f aca="false">$I$24*H86</f>
        <v>0</v>
      </c>
      <c r="J86" s="1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19" t="s">
        <v>115</v>
      </c>
      <c r="B87" s="19"/>
      <c r="C87" s="19"/>
      <c r="D87" s="19"/>
      <c r="E87" s="19"/>
      <c r="F87" s="19"/>
      <c r="G87" s="19"/>
      <c r="H87" s="32" t="n">
        <f aca="false">TRUNC(SUM(H86),4)</f>
        <v>0</v>
      </c>
      <c r="I87" s="27" t="n">
        <f aca="false">TRUNC(SUM(I86),2)</f>
        <v>0</v>
      </c>
      <c r="J87" s="1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55"/>
      <c r="B88" s="55"/>
      <c r="C88" s="55"/>
      <c r="D88" s="55"/>
      <c r="E88" s="55"/>
      <c r="F88" s="55"/>
      <c r="G88" s="55"/>
      <c r="H88" s="55"/>
      <c r="I88" s="55"/>
      <c r="J88" s="1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49" t="s">
        <v>116</v>
      </c>
      <c r="B89" s="49"/>
      <c r="C89" s="49"/>
      <c r="D89" s="49"/>
      <c r="E89" s="49"/>
      <c r="F89" s="49"/>
      <c r="G89" s="49"/>
      <c r="H89" s="49"/>
      <c r="I89" s="49"/>
      <c r="J89" s="1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19" t="s">
        <v>117</v>
      </c>
      <c r="B90" s="19"/>
      <c r="C90" s="19"/>
      <c r="D90" s="19"/>
      <c r="E90" s="19"/>
      <c r="F90" s="19"/>
      <c r="G90" s="19"/>
      <c r="H90" s="19"/>
      <c r="I90" s="19" t="s">
        <v>33</v>
      </c>
      <c r="J90" s="1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19" t="s">
        <v>118</v>
      </c>
      <c r="B91" s="35" t="s">
        <v>119</v>
      </c>
      <c r="C91" s="35"/>
      <c r="D91" s="35"/>
      <c r="E91" s="35"/>
      <c r="F91" s="35"/>
      <c r="G91" s="35"/>
      <c r="H91" s="35"/>
      <c r="I91" s="25" t="n">
        <f aca="false">I83</f>
        <v>382.25</v>
      </c>
      <c r="J91" s="1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19" t="s">
        <v>120</v>
      </c>
      <c r="B92" s="35" t="s">
        <v>121</v>
      </c>
      <c r="C92" s="35"/>
      <c r="D92" s="35"/>
      <c r="E92" s="35"/>
      <c r="F92" s="35"/>
      <c r="G92" s="35"/>
      <c r="H92" s="35"/>
      <c r="I92" s="25" t="n">
        <f aca="false">I87</f>
        <v>0</v>
      </c>
      <c r="J92" s="1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19" t="s">
        <v>122</v>
      </c>
      <c r="B93" s="19"/>
      <c r="C93" s="19"/>
      <c r="D93" s="19"/>
      <c r="E93" s="19"/>
      <c r="F93" s="19"/>
      <c r="G93" s="19"/>
      <c r="H93" s="19"/>
      <c r="I93" s="27" t="n">
        <f aca="false">TRUNC(SUM(I91:I92),2)</f>
        <v>382.25</v>
      </c>
      <c r="J93" s="1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1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6" t="s">
        <v>123</v>
      </c>
      <c r="B95" s="6"/>
      <c r="C95" s="6"/>
      <c r="D95" s="6"/>
      <c r="E95" s="6"/>
      <c r="F95" s="6"/>
      <c r="G95" s="6"/>
      <c r="H95" s="6"/>
      <c r="I95" s="6"/>
      <c r="J95" s="1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19" t="n">
        <v>5</v>
      </c>
      <c r="B96" s="19" t="s">
        <v>124</v>
      </c>
      <c r="C96" s="19"/>
      <c r="D96" s="19"/>
      <c r="E96" s="19"/>
      <c r="F96" s="19"/>
      <c r="G96" s="19"/>
      <c r="H96" s="19"/>
      <c r="I96" s="19" t="s">
        <v>33</v>
      </c>
      <c r="J96" s="1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19" t="s">
        <v>4</v>
      </c>
      <c r="B97" s="11" t="s">
        <v>125</v>
      </c>
      <c r="C97" s="11"/>
      <c r="D97" s="11"/>
      <c r="E97" s="11"/>
      <c r="F97" s="11"/>
      <c r="G97" s="11"/>
      <c r="H97" s="35" t="s">
        <v>63</v>
      </c>
      <c r="I97" s="25" t="n">
        <v>18.91</v>
      </c>
      <c r="J97" s="11" t="s">
        <v>126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19" t="s">
        <v>7</v>
      </c>
      <c r="B98" s="11" t="s">
        <v>127</v>
      </c>
      <c r="C98" s="11"/>
      <c r="D98" s="11"/>
      <c r="E98" s="11"/>
      <c r="F98" s="11"/>
      <c r="G98" s="11"/>
      <c r="H98" s="35" t="s">
        <v>63</v>
      </c>
      <c r="I98" s="25" t="n">
        <v>0</v>
      </c>
      <c r="J98" s="1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56" t="s">
        <v>10</v>
      </c>
      <c r="B99" s="11" t="s">
        <v>128</v>
      </c>
      <c r="C99" s="11"/>
      <c r="D99" s="11"/>
      <c r="E99" s="11"/>
      <c r="F99" s="11"/>
      <c r="G99" s="11"/>
      <c r="H99" s="35" t="s">
        <v>63</v>
      </c>
      <c r="I99" s="25" t="n">
        <v>0</v>
      </c>
      <c r="J99" s="1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56" t="s">
        <v>13</v>
      </c>
      <c r="B100" s="11" t="s">
        <v>43</v>
      </c>
      <c r="C100" s="11"/>
      <c r="D100" s="11"/>
      <c r="E100" s="11"/>
      <c r="F100" s="11"/>
      <c r="G100" s="11"/>
      <c r="H100" s="35" t="s">
        <v>63</v>
      </c>
      <c r="I100" s="25" t="n">
        <v>0</v>
      </c>
      <c r="J100" s="1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19" t="s">
        <v>129</v>
      </c>
      <c r="B101" s="19"/>
      <c r="C101" s="19"/>
      <c r="D101" s="19"/>
      <c r="E101" s="19"/>
      <c r="F101" s="19"/>
      <c r="G101" s="19"/>
      <c r="H101" s="32" t="s">
        <v>63</v>
      </c>
      <c r="I101" s="27" t="n">
        <f aca="false">TRUNC(SUM(I97:I100),2)</f>
        <v>18.91</v>
      </c>
      <c r="J101" s="1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1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6" t="s">
        <v>130</v>
      </c>
      <c r="B103" s="6"/>
      <c r="C103" s="6"/>
      <c r="D103" s="6"/>
      <c r="E103" s="6"/>
      <c r="F103" s="6"/>
      <c r="G103" s="6"/>
      <c r="H103" s="6"/>
      <c r="I103" s="6"/>
      <c r="J103" s="1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19" t="n">
        <v>6</v>
      </c>
      <c r="B104" s="19" t="s">
        <v>131</v>
      </c>
      <c r="C104" s="19"/>
      <c r="D104" s="19"/>
      <c r="E104" s="19"/>
      <c r="F104" s="19"/>
      <c r="G104" s="19"/>
      <c r="H104" s="19" t="s">
        <v>32</v>
      </c>
      <c r="I104" s="19" t="s">
        <v>33</v>
      </c>
      <c r="J104" s="1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19" t="s">
        <v>4</v>
      </c>
      <c r="B105" s="9" t="s">
        <v>132</v>
      </c>
      <c r="C105" s="9"/>
      <c r="D105" s="9"/>
      <c r="E105" s="9"/>
      <c r="F105" s="9"/>
      <c r="G105" s="9"/>
      <c r="H105" s="51" t="n">
        <v>0.03</v>
      </c>
      <c r="I105" s="25" t="n">
        <f aca="false">TRUNC(H105*I129,2)</f>
        <v>128.72</v>
      </c>
      <c r="J105" s="11" t="s">
        <v>126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19" t="s">
        <v>7</v>
      </c>
      <c r="B106" s="9" t="s">
        <v>133</v>
      </c>
      <c r="C106" s="9"/>
      <c r="D106" s="9"/>
      <c r="E106" s="9"/>
      <c r="F106" s="9"/>
      <c r="G106" s="9"/>
      <c r="H106" s="51" t="n">
        <v>0.032</v>
      </c>
      <c r="I106" s="25" t="n">
        <f aca="false">TRUNC(H106*(I105+I129),2)</f>
        <v>141.42</v>
      </c>
      <c r="J106" s="11" t="s">
        <v>126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19" t="s">
        <v>10</v>
      </c>
      <c r="B107" s="57" t="s">
        <v>134</v>
      </c>
      <c r="C107" s="57"/>
      <c r="D107" s="57"/>
      <c r="E107" s="57"/>
      <c r="F107" s="57"/>
      <c r="G107" s="57"/>
      <c r="H107" s="24"/>
      <c r="I107" s="58"/>
      <c r="J107" s="11" t="s">
        <v>135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19" t="s">
        <v>136</v>
      </c>
      <c r="B108" s="9" t="s">
        <v>137</v>
      </c>
      <c r="C108" s="9"/>
      <c r="D108" s="9"/>
      <c r="E108" s="9"/>
      <c r="F108" s="9"/>
      <c r="G108" s="9"/>
      <c r="H108" s="51" t="n">
        <v>0.0165</v>
      </c>
      <c r="I108" s="25" t="n">
        <f aca="false">H108*I118</f>
        <v>87.76152</v>
      </c>
      <c r="J108" s="1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19" t="s">
        <v>138</v>
      </c>
      <c r="B109" s="9" t="s">
        <v>139</v>
      </c>
      <c r="C109" s="9"/>
      <c r="D109" s="9"/>
      <c r="E109" s="9"/>
      <c r="F109" s="9"/>
      <c r="G109" s="9"/>
      <c r="H109" s="59" t="n">
        <v>0.076</v>
      </c>
      <c r="I109" s="25" t="n">
        <f aca="false">H109*I118</f>
        <v>404.23488</v>
      </c>
      <c r="J109" s="1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19" t="s">
        <v>140</v>
      </c>
      <c r="B110" s="9" t="s">
        <v>141</v>
      </c>
      <c r="C110" s="9"/>
      <c r="D110" s="9"/>
      <c r="E110" s="9"/>
      <c r="F110" s="9"/>
      <c r="G110" s="9"/>
      <c r="H110" s="60" t="n">
        <v>0.05</v>
      </c>
      <c r="I110" s="25" t="n">
        <f aca="false">H110*I118</f>
        <v>265.944</v>
      </c>
      <c r="J110" s="1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19" t="s">
        <v>142</v>
      </c>
      <c r="B111" s="19"/>
      <c r="C111" s="19"/>
      <c r="D111" s="19"/>
      <c r="E111" s="19"/>
      <c r="F111" s="19"/>
      <c r="G111" s="19"/>
      <c r="H111" s="51"/>
      <c r="I111" s="27" t="n">
        <f aca="false">TRUNC(SUM(I105:I110),2)</f>
        <v>1028.08</v>
      </c>
      <c r="J111" s="1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5"/>
      <c r="B112" s="61"/>
      <c r="C112" s="61"/>
      <c r="D112" s="61"/>
      <c r="E112" s="61"/>
      <c r="F112" s="61"/>
      <c r="G112" s="61"/>
      <c r="H112" s="61"/>
      <c r="I112" s="61"/>
      <c r="J112" s="1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62" t="s">
        <v>143</v>
      </c>
      <c r="B113" s="63" t="s">
        <v>144</v>
      </c>
      <c r="C113" s="63"/>
      <c r="D113" s="63"/>
      <c r="E113" s="63"/>
      <c r="F113" s="63"/>
      <c r="G113" s="63"/>
      <c r="H113" s="64" t="n">
        <f aca="false">TRUNC(H108+H109+H110,4)</f>
        <v>0.1425</v>
      </c>
      <c r="I113" s="65"/>
      <c r="J113" s="1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66"/>
      <c r="B114" s="67" t="n">
        <v>100</v>
      </c>
      <c r="C114" s="67"/>
      <c r="D114" s="67"/>
      <c r="E114" s="67"/>
      <c r="F114" s="67"/>
      <c r="G114" s="67"/>
      <c r="H114" s="68"/>
      <c r="I114" s="69"/>
      <c r="J114" s="1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70"/>
      <c r="B115" s="71"/>
      <c r="C115" s="71"/>
      <c r="D115" s="71"/>
      <c r="E115" s="71"/>
      <c r="F115" s="71"/>
      <c r="G115" s="71"/>
      <c r="H115" s="68"/>
      <c r="I115" s="69"/>
      <c r="J115" s="1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66" t="s">
        <v>145</v>
      </c>
      <c r="B116" s="67" t="s">
        <v>146</v>
      </c>
      <c r="C116" s="67"/>
      <c r="D116" s="67"/>
      <c r="E116" s="67"/>
      <c r="F116" s="67"/>
      <c r="G116" s="67"/>
      <c r="H116" s="68"/>
      <c r="I116" s="72" t="n">
        <f aca="false">TRUNC(I129+I105+I106,2)</f>
        <v>4560.94</v>
      </c>
      <c r="J116" s="1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66"/>
      <c r="B117" s="71"/>
      <c r="C117" s="71"/>
      <c r="D117" s="71"/>
      <c r="E117" s="71"/>
      <c r="F117" s="71"/>
      <c r="G117" s="71"/>
      <c r="H117" s="68"/>
      <c r="I117" s="72"/>
      <c r="J117" s="1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66" t="s">
        <v>147</v>
      </c>
      <c r="B118" s="67" t="s">
        <v>148</v>
      </c>
      <c r="C118" s="67"/>
      <c r="D118" s="67"/>
      <c r="E118" s="67"/>
      <c r="F118" s="67"/>
      <c r="G118" s="67"/>
      <c r="H118" s="68"/>
      <c r="I118" s="72" t="n">
        <f aca="false">TRUNC(I116/(1-H113),2)</f>
        <v>5318.88</v>
      </c>
      <c r="J118" s="1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66"/>
      <c r="B119" s="71"/>
      <c r="C119" s="71"/>
      <c r="D119" s="71"/>
      <c r="E119" s="71"/>
      <c r="F119" s="71"/>
      <c r="G119" s="71"/>
      <c r="H119" s="68"/>
      <c r="I119" s="72"/>
      <c r="J119" s="1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73"/>
      <c r="B120" s="74" t="s">
        <v>149</v>
      </c>
      <c r="C120" s="74"/>
      <c r="D120" s="74"/>
      <c r="E120" s="74"/>
      <c r="F120" s="74"/>
      <c r="G120" s="74"/>
      <c r="H120" s="75"/>
      <c r="I120" s="76" t="n">
        <f aca="false">TRUNC(I118-I116,2)</f>
        <v>757.94</v>
      </c>
      <c r="J120" s="11"/>
      <c r="K120" s="5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29"/>
      <c r="J121" s="1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49" t="s">
        <v>150</v>
      </c>
      <c r="B122" s="49"/>
      <c r="C122" s="49"/>
      <c r="D122" s="49"/>
      <c r="E122" s="49"/>
      <c r="F122" s="49"/>
      <c r="G122" s="49"/>
      <c r="H122" s="49"/>
      <c r="I122" s="49"/>
      <c r="J122" s="11"/>
      <c r="K122" s="7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19" t="s">
        <v>151</v>
      </c>
      <c r="B123" s="19"/>
      <c r="C123" s="19"/>
      <c r="D123" s="19"/>
      <c r="E123" s="19"/>
      <c r="F123" s="19"/>
      <c r="G123" s="19"/>
      <c r="H123" s="19"/>
      <c r="I123" s="19" t="s">
        <v>33</v>
      </c>
      <c r="J123" s="1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5" t="s">
        <v>4</v>
      </c>
      <c r="B124" s="9" t="str">
        <f aca="false">A16</f>
        <v>MÓDULO 1 - COMPOSIÇÃO DA REMUNERAÇÃO</v>
      </c>
      <c r="C124" s="9"/>
      <c r="D124" s="9"/>
      <c r="E124" s="9"/>
      <c r="F124" s="9"/>
      <c r="G124" s="9"/>
      <c r="H124" s="9"/>
      <c r="I124" s="25" t="n">
        <f aca="false">I24</f>
        <v>2276.01</v>
      </c>
      <c r="J124" s="1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5" t="s">
        <v>7</v>
      </c>
      <c r="B125" s="9" t="str">
        <f aca="false">A26</f>
        <v>MÓDULO 2 – ENCARGOS E BENEFÍCIOS ANUAIS, MENSAIS E DIÁRIOS</v>
      </c>
      <c r="C125" s="9"/>
      <c r="D125" s="9"/>
      <c r="E125" s="9"/>
      <c r="F125" s="9"/>
      <c r="G125" s="9"/>
      <c r="H125" s="9"/>
      <c r="I125" s="25" t="n">
        <f aca="false">I63</f>
        <v>1451.51</v>
      </c>
      <c r="J125" s="1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5" t="s">
        <v>10</v>
      </c>
      <c r="B126" s="9" t="str">
        <f aca="false">A65</f>
        <v>MÓDULO 3 – PROVISÃO PARA RESCISÃO</v>
      </c>
      <c r="C126" s="9"/>
      <c r="D126" s="9"/>
      <c r="E126" s="9"/>
      <c r="F126" s="9"/>
      <c r="G126" s="9"/>
      <c r="H126" s="9"/>
      <c r="I126" s="25" t="n">
        <f aca="false">I73</f>
        <v>162.12</v>
      </c>
      <c r="J126" s="11"/>
      <c r="K126" s="7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5" t="s">
        <v>13</v>
      </c>
      <c r="B127" s="9" t="str">
        <f aca="false">A75</f>
        <v>MÓDULO 4 – CUSTO DE REPOSIÇÃO DO PROFISSIONAL AUSENTE</v>
      </c>
      <c r="C127" s="9"/>
      <c r="D127" s="9"/>
      <c r="E127" s="9"/>
      <c r="F127" s="9"/>
      <c r="G127" s="9"/>
      <c r="H127" s="9"/>
      <c r="I127" s="25" t="n">
        <f aca="false">I93</f>
        <v>382.25</v>
      </c>
      <c r="J127" s="11"/>
      <c r="K127" s="7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5" t="s">
        <v>16</v>
      </c>
      <c r="B128" s="9" t="str">
        <f aca="false">A95</f>
        <v>MÓDULO 5 – INSUMOS DIVERSOS</v>
      </c>
      <c r="C128" s="9"/>
      <c r="D128" s="9"/>
      <c r="E128" s="9"/>
      <c r="F128" s="9"/>
      <c r="G128" s="9"/>
      <c r="H128" s="9"/>
      <c r="I128" s="25" t="n">
        <f aca="false">I101</f>
        <v>18.91</v>
      </c>
      <c r="J128" s="1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19"/>
      <c r="B129" s="19" t="s">
        <v>152</v>
      </c>
      <c r="C129" s="19"/>
      <c r="D129" s="19"/>
      <c r="E129" s="19"/>
      <c r="F129" s="19"/>
      <c r="G129" s="19"/>
      <c r="H129" s="19"/>
      <c r="I129" s="27" t="n">
        <f aca="false">TRUNC(SUM(I124:I128),2)</f>
        <v>4290.8</v>
      </c>
      <c r="J129" s="11"/>
      <c r="K129" s="5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5" t="s">
        <v>21</v>
      </c>
      <c r="B130" s="9" t="str">
        <f aca="false">A103</f>
        <v>MÓDULO 6 – CUSTOS INDIRETOS, TRIBUTOS E LUCRO</v>
      </c>
      <c r="C130" s="9"/>
      <c r="D130" s="9"/>
      <c r="E130" s="9"/>
      <c r="F130" s="9"/>
      <c r="G130" s="9"/>
      <c r="H130" s="9"/>
      <c r="I130" s="25" t="n">
        <f aca="false">I111</f>
        <v>1028.08</v>
      </c>
      <c r="J130" s="1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19" t="s">
        <v>153</v>
      </c>
      <c r="B131" s="19"/>
      <c r="C131" s="19"/>
      <c r="D131" s="19"/>
      <c r="E131" s="19"/>
      <c r="F131" s="19"/>
      <c r="G131" s="19"/>
      <c r="H131" s="19"/>
      <c r="I131" s="27" t="n">
        <f aca="false">TRUNC(SUM(I129:I130),2)</f>
        <v>5318.88</v>
      </c>
      <c r="J131" s="1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53"/>
      <c r="J132" s="1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5"/>
      <c r="B133" s="4" t="s">
        <v>154</v>
      </c>
      <c r="C133" s="4"/>
      <c r="D133" s="4"/>
      <c r="E133" s="4"/>
      <c r="F133" s="4"/>
      <c r="G133" s="4"/>
      <c r="H133" s="28"/>
      <c r="I133" s="28"/>
      <c r="J133" s="1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40.5" hidden="false" customHeight="true" outlineLevel="0" collapsed="false">
      <c r="A134" s="78" t="s">
        <v>155</v>
      </c>
      <c r="B134" s="78"/>
      <c r="C134" s="78" t="s">
        <v>156</v>
      </c>
      <c r="D134" s="78"/>
      <c r="E134" s="78" t="s">
        <v>157</v>
      </c>
      <c r="F134" s="78"/>
      <c r="G134" s="79" t="s">
        <v>158</v>
      </c>
      <c r="H134" s="78" t="s">
        <v>159</v>
      </c>
      <c r="I134" s="80" t="s">
        <v>33</v>
      </c>
      <c r="J134" s="1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81" t="str">
        <f aca="false">H6</f>
        <v>Mossoró/RN</v>
      </c>
      <c r="B135" s="81"/>
      <c r="C135" s="82" t="n">
        <f aca="false">I131</f>
        <v>5318.88</v>
      </c>
      <c r="D135" s="82"/>
      <c r="E135" s="83" t="n">
        <v>1</v>
      </c>
      <c r="F135" s="83"/>
      <c r="G135" s="84" t="n">
        <f aca="false">C135*E135</f>
        <v>5318.88</v>
      </c>
      <c r="H135" s="85" t="n">
        <v>1</v>
      </c>
      <c r="I135" s="86" t="n">
        <f aca="false">G135*H135</f>
        <v>5318.88</v>
      </c>
      <c r="J135" s="1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87"/>
      <c r="B136" s="87"/>
      <c r="C136" s="88"/>
      <c r="D136" s="88"/>
      <c r="E136" s="89"/>
      <c r="F136" s="89"/>
      <c r="G136" s="90"/>
      <c r="H136" s="91"/>
      <c r="I136" s="92" t="n">
        <v>0</v>
      </c>
      <c r="J136" s="1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87"/>
      <c r="B137" s="87"/>
      <c r="C137" s="88"/>
      <c r="D137" s="88"/>
      <c r="E137" s="89"/>
      <c r="F137" s="89"/>
      <c r="G137" s="90"/>
      <c r="H137" s="91"/>
      <c r="I137" s="92" t="n">
        <v>0</v>
      </c>
      <c r="J137" s="1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87"/>
      <c r="B138" s="87"/>
      <c r="C138" s="88"/>
      <c r="D138" s="88"/>
      <c r="E138" s="89"/>
      <c r="F138" s="89"/>
      <c r="G138" s="90"/>
      <c r="H138" s="91"/>
      <c r="I138" s="92" t="n">
        <v>0</v>
      </c>
      <c r="J138" s="1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93"/>
      <c r="B139" s="93"/>
      <c r="C139" s="89"/>
      <c r="D139" s="89"/>
      <c r="E139" s="89"/>
      <c r="F139" s="89"/>
      <c r="G139" s="94"/>
      <c r="H139" s="95"/>
      <c r="I139" s="92"/>
      <c r="J139" s="1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96"/>
      <c r="B140" s="96"/>
      <c r="C140" s="97"/>
      <c r="D140" s="97"/>
      <c r="E140" s="97"/>
      <c r="F140" s="97"/>
      <c r="G140" s="98"/>
      <c r="H140" s="99"/>
      <c r="I140" s="100"/>
      <c r="J140" s="1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101" t="s">
        <v>160</v>
      </c>
      <c r="B141" s="101"/>
      <c r="C141" s="101"/>
      <c r="D141" s="101"/>
      <c r="E141" s="101"/>
      <c r="F141" s="101"/>
      <c r="G141" s="101"/>
      <c r="H141" s="101"/>
      <c r="I141" s="102" t="n">
        <f aca="false">SUM(I135:I140)</f>
        <v>5318.88</v>
      </c>
      <c r="J141" s="1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103"/>
      <c r="B142" s="103"/>
      <c r="C142" s="103"/>
      <c r="D142" s="103"/>
      <c r="E142" s="103"/>
      <c r="F142" s="103"/>
      <c r="G142" s="103"/>
      <c r="H142" s="103"/>
      <c r="I142" s="103"/>
      <c r="J142" s="1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104" t="s">
        <v>161</v>
      </c>
      <c r="B143" s="105" t="s">
        <v>162</v>
      </c>
      <c r="C143" s="105"/>
      <c r="D143" s="105"/>
      <c r="E143" s="105"/>
      <c r="F143" s="105"/>
      <c r="G143" s="105"/>
      <c r="H143" s="106"/>
      <c r="I143" s="106"/>
      <c r="J143" s="1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80" t="s">
        <v>163</v>
      </c>
      <c r="B144" s="80"/>
      <c r="C144" s="80"/>
      <c r="D144" s="80"/>
      <c r="E144" s="80"/>
      <c r="F144" s="80"/>
      <c r="G144" s="80"/>
      <c r="H144" s="80"/>
      <c r="I144" s="80"/>
      <c r="J144" s="1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107"/>
      <c r="B145" s="108" t="s">
        <v>164</v>
      </c>
      <c r="C145" s="108"/>
      <c r="D145" s="108"/>
      <c r="E145" s="108"/>
      <c r="F145" s="108"/>
      <c r="G145" s="108"/>
      <c r="H145" s="108"/>
      <c r="I145" s="80" t="s">
        <v>33</v>
      </c>
      <c r="J145" s="1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109" t="s">
        <v>4</v>
      </c>
      <c r="B146" s="110" t="s">
        <v>165</v>
      </c>
      <c r="C146" s="110"/>
      <c r="D146" s="110"/>
      <c r="E146" s="110"/>
      <c r="F146" s="110"/>
      <c r="G146" s="110"/>
      <c r="H146" s="110"/>
      <c r="I146" s="111" t="n">
        <f aca="false">I141*H14</f>
        <v>127653.12</v>
      </c>
      <c r="J146" s="1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107" t="s">
        <v>166</v>
      </c>
      <c r="B147" s="107"/>
      <c r="C147" s="107"/>
      <c r="D147" s="107"/>
      <c r="E147" s="107"/>
      <c r="F147" s="107"/>
      <c r="G147" s="107"/>
      <c r="H147" s="107"/>
      <c r="I147" s="102" t="n">
        <f aca="false">SUM(I146)</f>
        <v>127653.12</v>
      </c>
      <c r="J147" s="11"/>
      <c r="K147" s="3"/>
      <c r="L147" s="3"/>
      <c r="M147" s="10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104"/>
      <c r="B148" s="103"/>
      <c r="C148" s="103"/>
      <c r="D148" s="103"/>
      <c r="E148" s="103"/>
      <c r="F148" s="103"/>
      <c r="G148" s="103"/>
      <c r="H148" s="103"/>
      <c r="I148" s="10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112" t="s">
        <v>167</v>
      </c>
      <c r="B151" s="112" t="n">
        <f aca="false">I131/I124</f>
        <v>2.33693173580081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77"/>
      <c r="B152" s="112"/>
      <c r="C152" s="3"/>
      <c r="D152" s="3"/>
      <c r="E152" s="11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162">
    <mergeCell ref="A1:I1"/>
    <mergeCell ref="A2:I2"/>
    <mergeCell ref="A4:I4"/>
    <mergeCell ref="B5:G5"/>
    <mergeCell ref="H5:I5"/>
    <mergeCell ref="B6:G6"/>
    <mergeCell ref="H6:I6"/>
    <mergeCell ref="B7:G7"/>
    <mergeCell ref="H7:I7"/>
    <mergeCell ref="B8:G8"/>
    <mergeCell ref="H8:I8"/>
    <mergeCell ref="A9:A10"/>
    <mergeCell ref="B9:G10"/>
    <mergeCell ref="H9:I9"/>
    <mergeCell ref="B11:G11"/>
    <mergeCell ref="H11:I11"/>
    <mergeCell ref="B12:G12"/>
    <mergeCell ref="H12:I12"/>
    <mergeCell ref="B13:G13"/>
    <mergeCell ref="H13:I13"/>
    <mergeCell ref="B14:G14"/>
    <mergeCell ref="H14:I14"/>
    <mergeCell ref="A15:I15"/>
    <mergeCell ref="A16:I16"/>
    <mergeCell ref="B17:G17"/>
    <mergeCell ref="B18:G18"/>
    <mergeCell ref="B19:G19"/>
    <mergeCell ref="B20:G20"/>
    <mergeCell ref="B21:G21"/>
    <mergeCell ref="B22:G22"/>
    <mergeCell ref="B23:G23"/>
    <mergeCell ref="A24:H24"/>
    <mergeCell ref="A26:I26"/>
    <mergeCell ref="A27:G27"/>
    <mergeCell ref="B28:G28"/>
    <mergeCell ref="B29:G29"/>
    <mergeCell ref="A30:G30"/>
    <mergeCell ref="A31:I31"/>
    <mergeCell ref="A32:G32"/>
    <mergeCell ref="B33:G33"/>
    <mergeCell ref="B34:G34"/>
    <mergeCell ref="B35:G35"/>
    <mergeCell ref="B36:G36"/>
    <mergeCell ref="B37:G37"/>
    <mergeCell ref="B38:G38"/>
    <mergeCell ref="B39:G39"/>
    <mergeCell ref="B40:G40"/>
    <mergeCell ref="A41:G41"/>
    <mergeCell ref="A42:I42"/>
    <mergeCell ref="A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A56:H56"/>
    <mergeCell ref="A57:I57"/>
    <mergeCell ref="A58:I58"/>
    <mergeCell ref="A59:H59"/>
    <mergeCell ref="B60:H60"/>
    <mergeCell ref="B61:H61"/>
    <mergeCell ref="B62:H62"/>
    <mergeCell ref="A63:H63"/>
    <mergeCell ref="A64:I64"/>
    <mergeCell ref="A65:I65"/>
    <mergeCell ref="B66:G66"/>
    <mergeCell ref="B67:G67"/>
    <mergeCell ref="B68:G68"/>
    <mergeCell ref="B69:G69"/>
    <mergeCell ref="B70:G70"/>
    <mergeCell ref="B71:G71"/>
    <mergeCell ref="B72:G72"/>
    <mergeCell ref="A73:G73"/>
    <mergeCell ref="A74:I74"/>
    <mergeCell ref="A75:I75"/>
    <mergeCell ref="A76:G76"/>
    <mergeCell ref="B77:G77"/>
    <mergeCell ref="B78:G78"/>
    <mergeCell ref="B79:G79"/>
    <mergeCell ref="B80:G80"/>
    <mergeCell ref="B81:G81"/>
    <mergeCell ref="B82:G82"/>
    <mergeCell ref="A83:G83"/>
    <mergeCell ref="A84:I84"/>
    <mergeCell ref="A85:G85"/>
    <mergeCell ref="B86:G86"/>
    <mergeCell ref="A87:G87"/>
    <mergeCell ref="A88:I88"/>
    <mergeCell ref="A89:I89"/>
    <mergeCell ref="A90:H90"/>
    <mergeCell ref="B91:H91"/>
    <mergeCell ref="B92:H92"/>
    <mergeCell ref="A93:H93"/>
    <mergeCell ref="A94:I94"/>
    <mergeCell ref="A95:I95"/>
    <mergeCell ref="B96:G96"/>
    <mergeCell ref="B97:G97"/>
    <mergeCell ref="B98:G98"/>
    <mergeCell ref="B99:G99"/>
    <mergeCell ref="B100:G100"/>
    <mergeCell ref="A101:G101"/>
    <mergeCell ref="A102:I102"/>
    <mergeCell ref="A103:I103"/>
    <mergeCell ref="B104:G104"/>
    <mergeCell ref="B105:G105"/>
    <mergeCell ref="B106:G106"/>
    <mergeCell ref="B107:G107"/>
    <mergeCell ref="B108:G108"/>
    <mergeCell ref="B109:G109"/>
    <mergeCell ref="B110:G110"/>
    <mergeCell ref="A111:G111"/>
    <mergeCell ref="B112:I112"/>
    <mergeCell ref="B113:G113"/>
    <mergeCell ref="B114:G114"/>
    <mergeCell ref="B116:G116"/>
    <mergeCell ref="B118:G118"/>
    <mergeCell ref="B120:G120"/>
    <mergeCell ref="A122:I122"/>
    <mergeCell ref="A123:H123"/>
    <mergeCell ref="B124:H124"/>
    <mergeCell ref="B125:H125"/>
    <mergeCell ref="B126:H126"/>
    <mergeCell ref="B127:H127"/>
    <mergeCell ref="B128:H128"/>
    <mergeCell ref="B129:H129"/>
    <mergeCell ref="B130:H130"/>
    <mergeCell ref="A131:H131"/>
    <mergeCell ref="B133:G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H141"/>
    <mergeCell ref="B143:G143"/>
    <mergeCell ref="A144:I144"/>
    <mergeCell ref="B145:H145"/>
    <mergeCell ref="B146:H146"/>
    <mergeCell ref="A147:H147"/>
  </mergeCells>
  <printOptions headings="false" gridLines="false" gridLinesSet="true" horizontalCentered="false" verticalCentered="false"/>
  <pageMargins left="0.393055555555556" right="0.196527777777778" top="0.590277777777778" bottom="0.393055555555556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2010-12-08T17:56:00Z</dcterms:created>
  <dc:creator>Patrick</dc:creator>
  <dc:description/>
  <dc:language>pt-BR</dc:language>
  <cp:lastModifiedBy/>
  <dcterms:modified xsi:type="dcterms:W3CDTF">2026-09-16T08:06:27Z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1046-10.2.0.7516</vt:lpwstr>
  </property>
</Properties>
</file>